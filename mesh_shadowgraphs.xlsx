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sde\Downloads\main (1)\"/>
    </mc:Choice>
  </mc:AlternateContent>
  <xr:revisionPtr revIDLastSave="0" documentId="13_ncr:1_{A286E0DF-E64E-4280-BDDD-65518CA462CC}" xr6:coauthVersionLast="47" xr6:coauthVersionMax="47" xr10:uidLastSave="{00000000-0000-0000-0000-000000000000}"/>
  <bookViews>
    <workbookView xWindow="-108" yWindow="-108" windowWidth="23256" windowHeight="12456" xr2:uid="{E167558C-EDAE-441A-9DD3-8D69DFB345C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5" i="1" l="1"/>
  <c r="C67" i="1" s="1"/>
  <c r="C68" i="1" s="1"/>
  <c r="C69" i="1" s="1"/>
  <c r="C64" i="1"/>
  <c r="C63" i="1"/>
  <c r="B64" i="1"/>
  <c r="B65" i="1" s="1"/>
  <c r="B67" i="1" s="1"/>
  <c r="B68" i="1" s="1"/>
  <c r="B69" i="1" s="1"/>
  <c r="B63" i="1"/>
  <c r="B45" i="1"/>
  <c r="B46" i="1" s="1"/>
  <c r="B48" i="1" s="1"/>
  <c r="B49" i="1" s="1"/>
  <c r="B50" i="1" s="1"/>
  <c r="B44" i="1"/>
  <c r="C28" i="1"/>
  <c r="C29" i="1" s="1"/>
  <c r="C31" i="1" s="1"/>
  <c r="C32" i="1" s="1"/>
  <c r="C27" i="1"/>
  <c r="B28" i="1"/>
  <c r="B29" i="1" s="1"/>
  <c r="B31" i="1" s="1"/>
  <c r="B32" i="1" s="1"/>
  <c r="B27" i="1"/>
  <c r="B11" i="1"/>
  <c r="B12" i="1" s="1"/>
  <c r="B14" i="1" s="1"/>
  <c r="B10" i="1"/>
  <c r="B15" i="1" l="1"/>
</calcChain>
</file>

<file path=xl/sharedStrings.xml><?xml version="1.0" encoding="utf-8"?>
<sst xmlns="http://schemas.openxmlformats.org/spreadsheetml/2006/main" count="56" uniqueCount="22">
  <si>
    <t>Option 1: Parralel beam</t>
  </si>
  <si>
    <t>lens_to_mesh (mm)</t>
  </si>
  <si>
    <t>mesh_to_detector (mm)</t>
  </si>
  <si>
    <t>mesh_line_distance (mm)</t>
  </si>
  <si>
    <t>detector_pixelsize (mm)</t>
  </si>
  <si>
    <t>measured_line_distance (pixels)</t>
  </si>
  <si>
    <t>measured_line_distance (mm)</t>
  </si>
  <si>
    <t>distance_to_focalplane (mm)</t>
  </si>
  <si>
    <t>focal length(mm)</t>
  </si>
  <si>
    <t>mesh_line_thickness (mm)</t>
  </si>
  <si>
    <t>measured_gap_distance (pixels)</t>
  </si>
  <si>
    <t>measured_gap_distance (mm)</t>
  </si>
  <si>
    <t>EXAMPLES WITH SIMULATED DATA</t>
  </si>
  <si>
    <t>400 mesh</t>
  </si>
  <si>
    <t>500 mesh</t>
  </si>
  <si>
    <t>Option 2: Point source</t>
  </si>
  <si>
    <t>point_source_to_lens (mm)</t>
  </si>
  <si>
    <t>distance_to_imageplane (mm)</t>
  </si>
  <si>
    <t>image plane (mm)</t>
  </si>
  <si>
    <t>focal length (mm)</t>
  </si>
  <si>
    <t>200 mesh</t>
  </si>
  <si>
    <t>300 mesh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</si>
</sst>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997F1-A6F2-4FC0-8773-DC0DE9C8F7BD}">
  <dimension ref="A1:C69"/>
  <sheetViews>
    <sheetView tabSelected="1" topLeftCell="A8" zoomScale="85" zoomScaleNormal="85" workbookViewId="0">
      <selection activeCell="G24" sqref="G24"/>
    </sheetView>
  </sheetViews>
  <sheetFormatPr defaultRowHeight="14.4" x14ac:dyDescent="0.3"/>
  <cols>
    <col min="1" max="1" width="27.6640625" customWidth="1"/>
  </cols>
  <sheetData>
    <row r="1" spans="1:2" x14ac:dyDescent="0.3">
      <c r="A1" t="s">
        <v>0</v>
      </c>
    </row>
    <row r="3" spans="1:2" x14ac:dyDescent="0.3">
      <c r="A3" t="s">
        <v>1</v>
      </c>
      <c r="B3">
        <v>10</v>
      </c>
    </row>
    <row r="4" spans="1:2" x14ac:dyDescent="0.3">
      <c r="A4" t="s">
        <v>2</v>
      </c>
      <c r="B4">
        <v>110</v>
      </c>
    </row>
    <row r="5" spans="1:2" x14ac:dyDescent="0.3">
      <c r="A5" t="s">
        <v>3</v>
      </c>
      <c r="B5">
        <v>5.0999999999999997E-2</v>
      </c>
    </row>
    <row r="6" spans="1:2" x14ac:dyDescent="0.3">
      <c r="A6" t="s">
        <v>9</v>
      </c>
      <c r="B6">
        <v>2.3E-2</v>
      </c>
    </row>
    <row r="7" spans="1:2" x14ac:dyDescent="0.3">
      <c r="A7" t="s">
        <v>4</v>
      </c>
      <c r="B7">
        <v>5.5E-2</v>
      </c>
    </row>
    <row r="8" spans="1:2" ht="15" thickBot="1" x14ac:dyDescent="0.35"/>
    <row r="9" spans="1:2" ht="15" thickBot="1" x14ac:dyDescent="0.35">
      <c r="A9" t="s">
        <v>10</v>
      </c>
      <c r="B9" s="2">
        <v>40.216999999999999</v>
      </c>
    </row>
    <row r="10" spans="1:2" x14ac:dyDescent="0.3">
      <c r="A10" t="s">
        <v>11</v>
      </c>
      <c r="B10" s="1">
        <f>B9*B7</f>
        <v>2.211935</v>
      </c>
    </row>
    <row r="11" spans="1:2" x14ac:dyDescent="0.3">
      <c r="A11" t="s">
        <v>5</v>
      </c>
      <c r="B11" s="1">
        <f>B9*(B5+B6)/B5</f>
        <v>58.354078431372542</v>
      </c>
    </row>
    <row r="12" spans="1:2" x14ac:dyDescent="0.3">
      <c r="A12" t="s">
        <v>6</v>
      </c>
      <c r="B12">
        <f>B11*B7</f>
        <v>3.2094743137254897</v>
      </c>
    </row>
    <row r="14" spans="1:2" x14ac:dyDescent="0.3">
      <c r="A14" t="s">
        <v>7</v>
      </c>
      <c r="B14">
        <f>B4/(B12/B5-1)</f>
        <v>1.7761740140235245</v>
      </c>
    </row>
    <row r="15" spans="1:2" x14ac:dyDescent="0.3">
      <c r="A15" t="s">
        <v>8</v>
      </c>
      <c r="B15">
        <f>B3-B14</f>
        <v>8.2238259859764753</v>
      </c>
    </row>
    <row r="18" spans="1:3" x14ac:dyDescent="0.3">
      <c r="A18" t="s">
        <v>12</v>
      </c>
    </row>
    <row r="19" spans="1:3" x14ac:dyDescent="0.3">
      <c r="B19" t="s">
        <v>13</v>
      </c>
      <c r="C19" t="s">
        <v>14</v>
      </c>
    </row>
    <row r="20" spans="1:3" x14ac:dyDescent="0.3">
      <c r="A20" t="s">
        <v>1</v>
      </c>
      <c r="B20">
        <v>10</v>
      </c>
      <c r="C20">
        <v>10</v>
      </c>
    </row>
    <row r="21" spans="1:3" x14ac:dyDescent="0.3">
      <c r="A21" t="s">
        <v>2</v>
      </c>
      <c r="B21">
        <v>110</v>
      </c>
      <c r="C21">
        <v>110</v>
      </c>
    </row>
    <row r="22" spans="1:3" x14ac:dyDescent="0.3">
      <c r="A22" t="s">
        <v>3</v>
      </c>
      <c r="B22">
        <v>5.0999999999999997E-2</v>
      </c>
      <c r="C22">
        <v>6.4000000000000001E-2</v>
      </c>
    </row>
    <row r="23" spans="1:3" x14ac:dyDescent="0.3">
      <c r="A23" t="s">
        <v>9</v>
      </c>
      <c r="B23">
        <v>2.3E-2</v>
      </c>
      <c r="C23">
        <v>2.3E-2</v>
      </c>
    </row>
    <row r="24" spans="1:3" x14ac:dyDescent="0.3">
      <c r="A24" t="s">
        <v>4</v>
      </c>
      <c r="B24">
        <v>5.5E-2</v>
      </c>
      <c r="C24">
        <v>5.5E-2</v>
      </c>
    </row>
    <row r="25" spans="1:3" ht="15" thickBot="1" x14ac:dyDescent="0.35"/>
    <row r="26" spans="1:3" ht="15" thickBot="1" x14ac:dyDescent="0.35">
      <c r="A26" t="s">
        <v>10</v>
      </c>
      <c r="B26" s="2">
        <v>38</v>
      </c>
      <c r="C26" s="2">
        <v>55</v>
      </c>
    </row>
    <row r="27" spans="1:3" x14ac:dyDescent="0.3">
      <c r="A27" t="s">
        <v>11</v>
      </c>
      <c r="B27" s="1">
        <f>B26*B24</f>
        <v>2.09</v>
      </c>
      <c r="C27" s="1">
        <f>C26*C24</f>
        <v>3.0249999999999999</v>
      </c>
    </row>
    <row r="28" spans="1:3" x14ac:dyDescent="0.3">
      <c r="A28" t="s">
        <v>5</v>
      </c>
      <c r="B28" s="1">
        <f>B26*(B22+B23)/B22</f>
        <v>55.137254901960787</v>
      </c>
      <c r="C28" s="1">
        <f>C26*(C22+C23)/C22</f>
        <v>74.765624999999986</v>
      </c>
    </row>
    <row r="29" spans="1:3" x14ac:dyDescent="0.3">
      <c r="A29" t="s">
        <v>6</v>
      </c>
      <c r="B29">
        <f>B28*B24</f>
        <v>3.0325490196078433</v>
      </c>
      <c r="C29">
        <f>C28*C24</f>
        <v>4.1121093749999993</v>
      </c>
    </row>
    <row r="31" spans="1:3" x14ac:dyDescent="0.3">
      <c r="A31" t="s">
        <v>7</v>
      </c>
      <c r="B31">
        <f>B21/(B29/B22-1)</f>
        <v>1.8815722844422229</v>
      </c>
      <c r="C31">
        <f>C21/(C29/C22-1)</f>
        <v>1.7390834455899555</v>
      </c>
    </row>
    <row r="32" spans="1:3" x14ac:dyDescent="0.3">
      <c r="A32" t="s">
        <v>8</v>
      </c>
      <c r="B32">
        <f>B20-B31</f>
        <v>8.1184277155577771</v>
      </c>
      <c r="C32">
        <f>C20-C31</f>
        <v>8.2609165544100449</v>
      </c>
    </row>
    <row r="34" spans="1:3" x14ac:dyDescent="0.3">
      <c r="A34" t="s">
        <v>15</v>
      </c>
    </row>
    <row r="36" spans="1:3" x14ac:dyDescent="0.3">
      <c r="A36" t="s">
        <v>1</v>
      </c>
      <c r="B36">
        <v>20</v>
      </c>
    </row>
    <row r="37" spans="1:3" x14ac:dyDescent="0.3">
      <c r="A37" t="s">
        <v>2</v>
      </c>
      <c r="B37">
        <v>140</v>
      </c>
    </row>
    <row r="38" spans="1:3" x14ac:dyDescent="0.3">
      <c r="A38" t="s">
        <v>3</v>
      </c>
      <c r="B38">
        <v>8.5000000000000006E-2</v>
      </c>
    </row>
    <row r="39" spans="1:3" x14ac:dyDescent="0.3">
      <c r="A39" t="s">
        <v>9</v>
      </c>
      <c r="B39">
        <v>2.5000000000000001E-2</v>
      </c>
    </row>
    <row r="40" spans="1:3" x14ac:dyDescent="0.3">
      <c r="A40" t="s">
        <v>4</v>
      </c>
      <c r="B40">
        <v>5.5E-2</v>
      </c>
    </row>
    <row r="41" spans="1:3" x14ac:dyDescent="0.3">
      <c r="A41" t="s">
        <v>16</v>
      </c>
      <c r="B41">
        <v>20</v>
      </c>
    </row>
    <row r="42" spans="1:3" ht="15" thickBot="1" x14ac:dyDescent="0.35"/>
    <row r="43" spans="1:3" ht="15" thickBot="1" x14ac:dyDescent="0.35">
      <c r="A43" t="s">
        <v>10</v>
      </c>
      <c r="B43" s="2">
        <v>32</v>
      </c>
    </row>
    <row r="44" spans="1:3" x14ac:dyDescent="0.3">
      <c r="A44" t="s">
        <v>11</v>
      </c>
      <c r="B44" s="1">
        <f>B43*B40</f>
        <v>1.76</v>
      </c>
    </row>
    <row r="45" spans="1:3" x14ac:dyDescent="0.3">
      <c r="A45" t="s">
        <v>5</v>
      </c>
      <c r="B45" s="1">
        <f>B43*(B38+B39)/B38</f>
        <v>41.411764705882355</v>
      </c>
      <c r="C45" s="1"/>
    </row>
    <row r="46" spans="1:3" x14ac:dyDescent="0.3">
      <c r="A46" t="s">
        <v>6</v>
      </c>
      <c r="B46">
        <f>B45*B40</f>
        <v>2.2776470588235296</v>
      </c>
    </row>
    <row r="48" spans="1:3" x14ac:dyDescent="0.3">
      <c r="A48" t="s">
        <v>17</v>
      </c>
      <c r="B48">
        <f>B37/(B46/B38-1)</f>
        <v>5.427230046948357</v>
      </c>
    </row>
    <row r="49" spans="1:3" x14ac:dyDescent="0.3">
      <c r="A49" t="s">
        <v>18</v>
      </c>
      <c r="B49">
        <f>B36-B48</f>
        <v>14.572769953051644</v>
      </c>
    </row>
    <row r="50" spans="1:3" x14ac:dyDescent="0.3">
      <c r="A50" t="s">
        <v>19</v>
      </c>
      <c r="B50">
        <f>B49*B41/(B49+B41)</f>
        <v>8.4302009777294948</v>
      </c>
    </row>
    <row r="53" spans="1:3" x14ac:dyDescent="0.3">
      <c r="A53" t="s">
        <v>12</v>
      </c>
    </row>
    <row r="54" spans="1:3" x14ac:dyDescent="0.3">
      <c r="B54" t="s">
        <v>20</v>
      </c>
      <c r="C54" t="s">
        <v>21</v>
      </c>
    </row>
    <row r="55" spans="1:3" x14ac:dyDescent="0.3">
      <c r="A55" t="s">
        <v>1</v>
      </c>
      <c r="B55">
        <v>20</v>
      </c>
      <c r="C55">
        <v>20</v>
      </c>
    </row>
    <row r="56" spans="1:3" x14ac:dyDescent="0.3">
      <c r="A56" t="s">
        <v>2</v>
      </c>
      <c r="B56">
        <v>90</v>
      </c>
      <c r="C56">
        <v>140</v>
      </c>
    </row>
    <row r="57" spans="1:3" x14ac:dyDescent="0.3">
      <c r="A57" t="s">
        <v>3</v>
      </c>
      <c r="B57">
        <v>0.127</v>
      </c>
      <c r="C57">
        <v>8.5000000000000006E-2</v>
      </c>
    </row>
    <row r="58" spans="1:3" x14ac:dyDescent="0.3">
      <c r="A58" t="s">
        <v>9</v>
      </c>
      <c r="B58">
        <v>2.5999999999999999E-2</v>
      </c>
      <c r="C58">
        <v>2.5000000000000001E-2</v>
      </c>
    </row>
    <row r="59" spans="1:3" x14ac:dyDescent="0.3">
      <c r="A59" t="s">
        <v>4</v>
      </c>
      <c r="B59">
        <v>5.5E-2</v>
      </c>
      <c r="C59">
        <v>5.5E-2</v>
      </c>
    </row>
    <row r="60" spans="1:3" x14ac:dyDescent="0.3">
      <c r="A60" t="s">
        <v>16</v>
      </c>
      <c r="B60">
        <v>20</v>
      </c>
      <c r="C60">
        <v>20</v>
      </c>
    </row>
    <row r="61" spans="1:3" ht="15" thickBot="1" x14ac:dyDescent="0.35"/>
    <row r="62" spans="1:3" ht="15" thickBot="1" x14ac:dyDescent="0.35">
      <c r="A62" t="s">
        <v>10</v>
      </c>
      <c r="B62" s="2">
        <v>35</v>
      </c>
      <c r="C62" s="2">
        <v>32</v>
      </c>
    </row>
    <row r="63" spans="1:3" x14ac:dyDescent="0.3">
      <c r="A63" t="s">
        <v>11</v>
      </c>
      <c r="B63" s="1">
        <f>B62*B59</f>
        <v>1.925</v>
      </c>
      <c r="C63" s="1">
        <f>C62*C59</f>
        <v>1.76</v>
      </c>
    </row>
    <row r="64" spans="1:3" x14ac:dyDescent="0.3">
      <c r="A64" t="s">
        <v>5</v>
      </c>
      <c r="B64" s="1">
        <f>B62*(B57+B58)/B57</f>
        <v>42.165354330708659</v>
      </c>
      <c r="C64" s="1">
        <f>C62*(C57+C58)/C57</f>
        <v>41.411764705882355</v>
      </c>
    </row>
    <row r="65" spans="1:3" x14ac:dyDescent="0.3">
      <c r="A65" t="s">
        <v>6</v>
      </c>
      <c r="B65">
        <f>B64*B59</f>
        <v>2.3190944881889761</v>
      </c>
      <c r="C65">
        <f>C64*C59</f>
        <v>2.2776470588235296</v>
      </c>
    </row>
    <row r="67" spans="1:3" x14ac:dyDescent="0.3">
      <c r="A67" t="s">
        <v>17</v>
      </c>
      <c r="B67">
        <f>B56/(B65/B57-1)</f>
        <v>5.2141912958519532</v>
      </c>
      <c r="C67">
        <f>C56/(C65/C57-1)</f>
        <v>5.427230046948357</v>
      </c>
    </row>
    <row r="68" spans="1:3" x14ac:dyDescent="0.3">
      <c r="A68" t="s">
        <v>18</v>
      </c>
      <c r="B68">
        <f>B55-B67</f>
        <v>14.785808704148046</v>
      </c>
      <c r="C68">
        <f>C55-C67</f>
        <v>14.572769953051644</v>
      </c>
    </row>
    <row r="69" spans="1:3" x14ac:dyDescent="0.3">
      <c r="A69" t="s">
        <v>19</v>
      </c>
      <c r="B69">
        <f>B68*B60/(B68+B60)</f>
        <v>8.5010579054813853</v>
      </c>
      <c r="C69">
        <f>C68*C60/(C68+C60)</f>
        <v>8.4302009777294948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 De Borger</dc:creator>
  <cp:lastModifiedBy>Des De Borger</cp:lastModifiedBy>
  <dcterms:created xsi:type="dcterms:W3CDTF">2026-03-31T08:36:37Z</dcterms:created>
  <dcterms:modified xsi:type="dcterms:W3CDTF">2026-03-31T09:16:09Z</dcterms:modified>
</cp:coreProperties>
</file>