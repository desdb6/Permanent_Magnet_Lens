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de\Downloads\main (1)\"/>
    </mc:Choice>
  </mc:AlternateContent>
  <xr:revisionPtr revIDLastSave="0" documentId="8_{95615C05-B623-42DE-A8B5-1441028571B4}" xr6:coauthVersionLast="47" xr6:coauthVersionMax="47" xr10:uidLastSave="{00000000-0000-0000-0000-000000000000}"/>
  <bookViews>
    <workbookView xWindow="-108" yWindow="-108" windowWidth="23256" windowHeight="12456" xr2:uid="{E167558C-EDAE-441A-9DD3-8D69DFB34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" l="1"/>
  <c r="B64" i="1" s="1"/>
  <c r="B66" i="1" s="1"/>
  <c r="B67" i="1" s="1"/>
  <c r="B68" i="1" s="1"/>
  <c r="B62" i="1"/>
  <c r="B45" i="1"/>
  <c r="B46" i="1"/>
  <c r="B48" i="1" s="1"/>
  <c r="B49" i="1" s="1"/>
  <c r="B50" i="1" s="1"/>
  <c r="B44" i="1"/>
  <c r="C32" i="1"/>
  <c r="C31" i="1"/>
  <c r="C28" i="1"/>
  <c r="C29" i="1" s="1"/>
  <c r="C27" i="1"/>
  <c r="B28" i="1"/>
  <c r="B29" i="1" s="1"/>
  <c r="B31" i="1" s="1"/>
  <c r="B32" i="1" s="1"/>
  <c r="B27" i="1"/>
  <c r="B11" i="1"/>
  <c r="B12" i="1" s="1"/>
  <c r="B14" i="1" s="1"/>
  <c r="B10" i="1"/>
  <c r="B15" i="1" l="1"/>
</calcChain>
</file>

<file path=xl/sharedStrings.xml><?xml version="1.0" encoding="utf-8"?>
<sst xmlns="http://schemas.openxmlformats.org/spreadsheetml/2006/main" count="55" uniqueCount="21">
  <si>
    <t>Option 1: Parralel beam</t>
  </si>
  <si>
    <t>lens_to_mesh (mm)</t>
  </si>
  <si>
    <t>mesh_to_detector (mm)</t>
  </si>
  <si>
    <t>mesh_line_distance (mm)</t>
  </si>
  <si>
    <t>detector_pixelsize (mm)</t>
  </si>
  <si>
    <t>measured_line_distance (pixels)</t>
  </si>
  <si>
    <t>measured_line_distance (mm)</t>
  </si>
  <si>
    <t>distance_to_focalplane (mm)</t>
  </si>
  <si>
    <t>focal length(mm)</t>
  </si>
  <si>
    <t>mesh_line_thickness (mm)</t>
  </si>
  <si>
    <t>measured_gap_distance (pixels)</t>
  </si>
  <si>
    <t>measured_gap_distance (mm)</t>
  </si>
  <si>
    <t>EXAMPLES WITH SIMULATED DATA</t>
  </si>
  <si>
    <t>400 mesh</t>
  </si>
  <si>
    <t>500 mesh</t>
  </si>
  <si>
    <t>Option 2: Point source</t>
  </si>
  <si>
    <t>point_source_to_lens (mm)</t>
  </si>
  <si>
    <t>distance_to_imageplane (mm)</t>
  </si>
  <si>
    <t>image plane (mm)</t>
  </si>
  <si>
    <t>focal length (mm)</t>
  </si>
  <si>
    <t>200 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</si>
</sst>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97F1-A6F2-4FC0-8773-DC0DE9C8F7BD}">
  <dimension ref="A1:C68"/>
  <sheetViews>
    <sheetView tabSelected="1" topLeftCell="A40" workbookViewId="0">
      <selection activeCell="B53" sqref="B53"/>
    </sheetView>
  </sheetViews>
  <sheetFormatPr defaultRowHeight="14.4" x14ac:dyDescent="0.3"/>
  <cols>
    <col min="1" max="1" width="27.6640625" customWidth="1"/>
  </cols>
  <sheetData>
    <row r="1" spans="1:2" x14ac:dyDescent="0.3">
      <c r="A1" t="s">
        <v>0</v>
      </c>
    </row>
    <row r="3" spans="1:2" x14ac:dyDescent="0.3">
      <c r="A3" t="s">
        <v>1</v>
      </c>
      <c r="B3">
        <v>10</v>
      </c>
    </row>
    <row r="4" spans="1:2" x14ac:dyDescent="0.3">
      <c r="A4" t="s">
        <v>2</v>
      </c>
      <c r="B4">
        <v>110</v>
      </c>
    </row>
    <row r="5" spans="1:2" x14ac:dyDescent="0.3">
      <c r="A5" t="s">
        <v>3</v>
      </c>
      <c r="B5">
        <v>5.0999999999999997E-2</v>
      </c>
    </row>
    <row r="6" spans="1:2" x14ac:dyDescent="0.3">
      <c r="A6" t="s">
        <v>9</v>
      </c>
      <c r="B6">
        <v>2.3E-2</v>
      </c>
    </row>
    <row r="7" spans="1:2" x14ac:dyDescent="0.3">
      <c r="A7" t="s">
        <v>4</v>
      </c>
      <c r="B7">
        <v>5.5E-2</v>
      </c>
    </row>
    <row r="8" spans="1:2" ht="15" thickBot="1" x14ac:dyDescent="0.35"/>
    <row r="9" spans="1:2" ht="15" thickBot="1" x14ac:dyDescent="0.35">
      <c r="A9" t="s">
        <v>10</v>
      </c>
      <c r="B9" s="2">
        <v>40.216999999999999</v>
      </c>
    </row>
    <row r="10" spans="1:2" x14ac:dyDescent="0.3">
      <c r="A10" t="s">
        <v>11</v>
      </c>
      <c r="B10" s="1">
        <f>B9*B7</f>
        <v>2.211935</v>
      </c>
    </row>
    <row r="11" spans="1:2" x14ac:dyDescent="0.3">
      <c r="A11" t="s">
        <v>5</v>
      </c>
      <c r="B11" s="1">
        <f>B9*(B5+B6)/B5</f>
        <v>58.354078431372542</v>
      </c>
    </row>
    <row r="12" spans="1:2" x14ac:dyDescent="0.3">
      <c r="A12" t="s">
        <v>6</v>
      </c>
      <c r="B12">
        <f>B11*B7</f>
        <v>3.2094743137254897</v>
      </c>
    </row>
    <row r="14" spans="1:2" x14ac:dyDescent="0.3">
      <c r="A14" t="s">
        <v>7</v>
      </c>
      <c r="B14">
        <f>B4/(B12/B5-1)</f>
        <v>1.7761740140235245</v>
      </c>
    </row>
    <row r="15" spans="1:2" x14ac:dyDescent="0.3">
      <c r="A15" t="s">
        <v>8</v>
      </c>
      <c r="B15">
        <f>B3-B14</f>
        <v>8.2238259859764753</v>
      </c>
    </row>
    <row r="18" spans="1:3" x14ac:dyDescent="0.3">
      <c r="A18" t="s">
        <v>12</v>
      </c>
    </row>
    <row r="19" spans="1:3" x14ac:dyDescent="0.3">
      <c r="B19" t="s">
        <v>14</v>
      </c>
      <c r="C19" t="s">
        <v>13</v>
      </c>
    </row>
    <row r="20" spans="1:3" x14ac:dyDescent="0.3">
      <c r="A20" t="s">
        <v>1</v>
      </c>
      <c r="B20">
        <v>10</v>
      </c>
      <c r="C20">
        <v>10</v>
      </c>
    </row>
    <row r="21" spans="1:3" x14ac:dyDescent="0.3">
      <c r="A21" t="s">
        <v>2</v>
      </c>
      <c r="B21">
        <v>110</v>
      </c>
      <c r="C21">
        <v>110</v>
      </c>
    </row>
    <row r="22" spans="1:3" x14ac:dyDescent="0.3">
      <c r="A22" t="s">
        <v>3</v>
      </c>
      <c r="B22">
        <v>6.4000000000000001E-2</v>
      </c>
      <c r="C22">
        <v>5.0999999999999997E-2</v>
      </c>
    </row>
    <row r="23" spans="1:3" x14ac:dyDescent="0.3">
      <c r="A23" t="s">
        <v>9</v>
      </c>
      <c r="B23">
        <v>2.3E-2</v>
      </c>
      <c r="C23">
        <v>2.3E-2</v>
      </c>
    </row>
    <row r="24" spans="1:3" x14ac:dyDescent="0.3">
      <c r="A24" t="s">
        <v>4</v>
      </c>
      <c r="B24">
        <v>5.5E-2</v>
      </c>
      <c r="C24">
        <v>5.5E-2</v>
      </c>
    </row>
    <row r="25" spans="1:3" ht="15" thickBot="1" x14ac:dyDescent="0.35"/>
    <row r="26" spans="1:3" ht="15" thickBot="1" x14ac:dyDescent="0.35">
      <c r="A26" t="s">
        <v>10</v>
      </c>
      <c r="B26" s="2">
        <v>55.128</v>
      </c>
      <c r="C26" s="2">
        <v>50</v>
      </c>
    </row>
    <row r="27" spans="1:3" x14ac:dyDescent="0.3">
      <c r="A27" t="s">
        <v>11</v>
      </c>
      <c r="B27" s="1">
        <f>B26*B24</f>
        <v>3.0320399999999998</v>
      </c>
      <c r="C27" s="1">
        <f>C26*C24</f>
        <v>2.75</v>
      </c>
    </row>
    <row r="28" spans="1:3" x14ac:dyDescent="0.3">
      <c r="A28" t="s">
        <v>5</v>
      </c>
      <c r="B28" s="1">
        <f>B26*(B22+B23)/B22</f>
        <v>74.939624999999992</v>
      </c>
      <c r="C28" s="1">
        <f>C26*(C22+C23)/C22</f>
        <v>72.549019607843135</v>
      </c>
    </row>
    <row r="29" spans="1:3" x14ac:dyDescent="0.3">
      <c r="A29" t="s">
        <v>6</v>
      </c>
      <c r="B29">
        <f>B28*B24</f>
        <v>4.1216793749999994</v>
      </c>
      <c r="C29">
        <f>C28*C24</f>
        <v>3.9901960784313726</v>
      </c>
    </row>
    <row r="31" spans="1:3" x14ac:dyDescent="0.3">
      <c r="A31" t="s">
        <v>7</v>
      </c>
      <c r="B31">
        <f>B21/(B29/B22-1)</f>
        <v>1.7349818330582121</v>
      </c>
      <c r="C31">
        <f>C21/(C29/C22-1)</f>
        <v>1.4241484527050907</v>
      </c>
    </row>
    <row r="32" spans="1:3" x14ac:dyDescent="0.3">
      <c r="A32" t="s">
        <v>8</v>
      </c>
      <c r="B32">
        <f>B20-B31</f>
        <v>8.2650181669417879</v>
      </c>
      <c r="C32">
        <f>C20-C31</f>
        <v>8.5758515472949099</v>
      </c>
    </row>
    <row r="34" spans="1:3" x14ac:dyDescent="0.3">
      <c r="A34" t="s">
        <v>15</v>
      </c>
    </row>
    <row r="36" spans="1:3" x14ac:dyDescent="0.3">
      <c r="A36" t="s">
        <v>1</v>
      </c>
      <c r="B36">
        <v>20</v>
      </c>
    </row>
    <row r="37" spans="1:3" x14ac:dyDescent="0.3">
      <c r="A37" t="s">
        <v>2</v>
      </c>
      <c r="B37">
        <v>90</v>
      </c>
    </row>
    <row r="38" spans="1:3" x14ac:dyDescent="0.3">
      <c r="A38" t="s">
        <v>3</v>
      </c>
      <c r="B38">
        <v>0.127</v>
      </c>
    </row>
    <row r="39" spans="1:3" x14ac:dyDescent="0.3">
      <c r="A39" t="s">
        <v>9</v>
      </c>
      <c r="B39">
        <v>2.5999999999999999E-2</v>
      </c>
    </row>
    <row r="40" spans="1:3" x14ac:dyDescent="0.3">
      <c r="A40" t="s">
        <v>4</v>
      </c>
      <c r="B40">
        <v>5.5E-2</v>
      </c>
    </row>
    <row r="41" spans="1:3" x14ac:dyDescent="0.3">
      <c r="A41" t="s">
        <v>16</v>
      </c>
      <c r="B41">
        <v>20</v>
      </c>
    </row>
    <row r="42" spans="1:3" ht="15" thickBot="1" x14ac:dyDescent="0.35"/>
    <row r="43" spans="1:3" ht="15" thickBot="1" x14ac:dyDescent="0.35">
      <c r="A43" t="s">
        <v>10</v>
      </c>
      <c r="B43" s="2">
        <v>40.216999999999999</v>
      </c>
    </row>
    <row r="44" spans="1:3" x14ac:dyDescent="0.3">
      <c r="A44" t="s">
        <v>11</v>
      </c>
      <c r="B44" s="1">
        <f>B43*B40</f>
        <v>2.211935</v>
      </c>
    </row>
    <row r="45" spans="1:3" x14ac:dyDescent="0.3">
      <c r="A45" t="s">
        <v>5</v>
      </c>
      <c r="B45" s="1">
        <f>B43*(B38+B39)/B38</f>
        <v>48.450401574803145</v>
      </c>
      <c r="C45" s="1"/>
    </row>
    <row r="46" spans="1:3" x14ac:dyDescent="0.3">
      <c r="A46" t="s">
        <v>6</v>
      </c>
      <c r="B46">
        <f>B45*B40</f>
        <v>2.6647720866141729</v>
      </c>
    </row>
    <row r="48" spans="1:3" x14ac:dyDescent="0.3">
      <c r="A48" t="s">
        <v>17</v>
      </c>
      <c r="B48">
        <f>B37/(B46/B38-1)</f>
        <v>4.503950555800146</v>
      </c>
    </row>
    <row r="49" spans="1:2" x14ac:dyDescent="0.3">
      <c r="A49" t="s">
        <v>18</v>
      </c>
      <c r="B49">
        <f>B36-B48</f>
        <v>15.496049444199855</v>
      </c>
    </row>
    <row r="50" spans="1:2" x14ac:dyDescent="0.3">
      <c r="A50" t="s">
        <v>19</v>
      </c>
      <c r="B50">
        <f>B49*B41/(B49+B41)</f>
        <v>8.7311403307344388</v>
      </c>
    </row>
    <row r="52" spans="1:2" x14ac:dyDescent="0.3">
      <c r="A52" t="s">
        <v>12</v>
      </c>
    </row>
    <row r="53" spans="1:2" x14ac:dyDescent="0.3">
      <c r="B53" t="s">
        <v>20</v>
      </c>
    </row>
    <row r="54" spans="1:2" x14ac:dyDescent="0.3">
      <c r="A54" t="s">
        <v>1</v>
      </c>
      <c r="B54">
        <v>20</v>
      </c>
    </row>
    <row r="55" spans="1:2" x14ac:dyDescent="0.3">
      <c r="A55" t="s">
        <v>2</v>
      </c>
      <c r="B55">
        <v>90</v>
      </c>
    </row>
    <row r="56" spans="1:2" x14ac:dyDescent="0.3">
      <c r="A56" t="s">
        <v>3</v>
      </c>
      <c r="B56">
        <v>0.127</v>
      </c>
    </row>
    <row r="57" spans="1:2" x14ac:dyDescent="0.3">
      <c r="A57" t="s">
        <v>9</v>
      </c>
      <c r="B57">
        <v>2.5999999999999999E-2</v>
      </c>
    </row>
    <row r="58" spans="1:2" x14ac:dyDescent="0.3">
      <c r="A58" t="s">
        <v>4</v>
      </c>
      <c r="B58">
        <v>5.5E-2</v>
      </c>
    </row>
    <row r="59" spans="1:2" x14ac:dyDescent="0.3">
      <c r="A59" t="s">
        <v>16</v>
      </c>
      <c r="B59">
        <v>20</v>
      </c>
    </row>
    <row r="60" spans="1:2" ht="15" thickBot="1" x14ac:dyDescent="0.35"/>
    <row r="61" spans="1:2" ht="15" thickBot="1" x14ac:dyDescent="0.35">
      <c r="A61" t="s">
        <v>10</v>
      </c>
      <c r="B61" s="2">
        <v>34.82</v>
      </c>
    </row>
    <row r="62" spans="1:2" x14ac:dyDescent="0.3">
      <c r="A62" t="s">
        <v>11</v>
      </c>
      <c r="B62" s="1">
        <f>B61*B58</f>
        <v>1.9151</v>
      </c>
    </row>
    <row r="63" spans="1:2" x14ac:dyDescent="0.3">
      <c r="A63" t="s">
        <v>5</v>
      </c>
      <c r="B63" s="1">
        <f>B61*(B56+B57)/B56</f>
        <v>41.948503937007878</v>
      </c>
    </row>
    <row r="64" spans="1:2" x14ac:dyDescent="0.3">
      <c r="A64" t="s">
        <v>6</v>
      </c>
      <c r="B64">
        <f>B63*B58</f>
        <v>2.3071677165354334</v>
      </c>
    </row>
    <row r="66" spans="1:2" x14ac:dyDescent="0.3">
      <c r="A66" t="s">
        <v>17</v>
      </c>
      <c r="B66">
        <f>B55/(B64/B56-1)</f>
        <v>5.2427159219492241</v>
      </c>
    </row>
    <row r="67" spans="1:2" x14ac:dyDescent="0.3">
      <c r="A67" t="s">
        <v>18</v>
      </c>
      <c r="B67">
        <f>B54-B66</f>
        <v>14.757284078050777</v>
      </c>
    </row>
    <row r="68" spans="1:2" x14ac:dyDescent="0.3">
      <c r="A68" t="s">
        <v>19</v>
      </c>
      <c r="B68">
        <f>B67*B59/(B67+B59)</f>
        <v>8.4916209476620192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 De Borger</dc:creator>
  <cp:lastModifiedBy>Des De Borger</cp:lastModifiedBy>
  <dcterms:created xsi:type="dcterms:W3CDTF">2026-03-31T08:36:37Z</dcterms:created>
  <dcterms:modified xsi:type="dcterms:W3CDTF">2026-03-31T09:03:47Z</dcterms:modified>
</cp:coreProperties>
</file>