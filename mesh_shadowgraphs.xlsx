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de\Downloads\"/>
    </mc:Choice>
  </mc:AlternateContent>
  <xr:revisionPtr revIDLastSave="0" documentId="13_ncr:1_{DA5C4A07-841A-4948-BCE8-DD49217FB0F3}" xr6:coauthVersionLast="47" xr6:coauthVersionMax="47" xr10:uidLastSave="{00000000-0000-0000-0000-000000000000}"/>
  <bookViews>
    <workbookView xWindow="28680" yWindow="-120" windowWidth="29040" windowHeight="15840" xr2:uid="{E167558C-EDAE-441A-9DD3-8D69DFB345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1" l="1"/>
  <c r="D65" i="1" s="1"/>
  <c r="D66" i="1" s="1"/>
  <c r="D67" i="1" s="1"/>
  <c r="D68" i="1" s="1"/>
  <c r="D59" i="1"/>
  <c r="B45" i="1"/>
  <c r="B41" i="1"/>
  <c r="D28" i="1"/>
  <c r="D30" i="1" s="1"/>
  <c r="D31" i="1" s="1"/>
  <c r="D32" i="1" s="1"/>
  <c r="D24" i="1"/>
  <c r="C63" i="1"/>
  <c r="C65" i="1" s="1"/>
  <c r="C66" i="1" s="1"/>
  <c r="C67" i="1" s="1"/>
  <c r="C68" i="1" s="1"/>
  <c r="C59" i="1"/>
  <c r="B63" i="1"/>
  <c r="B65" i="1" s="1"/>
  <c r="B66" i="1" s="1"/>
  <c r="B67" i="1" s="1"/>
  <c r="B68" i="1" s="1"/>
  <c r="B59" i="1"/>
  <c r="C28" i="1"/>
  <c r="C24" i="1"/>
  <c r="B28" i="1"/>
  <c r="B24" i="1"/>
  <c r="B7" i="1"/>
  <c r="B11" i="1"/>
  <c r="B47" i="1" l="1"/>
  <c r="B48" i="1" s="1"/>
  <c r="B49" i="1" s="1"/>
  <c r="B50" i="1" s="1"/>
  <c r="C30" i="1"/>
  <c r="C31" i="1" s="1"/>
  <c r="C32" i="1" s="1"/>
  <c r="B30" i="1"/>
  <c r="B31" i="1" s="1"/>
  <c r="B32" i="1" s="1"/>
  <c r="B13" i="1"/>
  <c r="B14" i="1" s="1"/>
  <c r="B15" i="1" s="1"/>
</calcChain>
</file>

<file path=xl/sharedStrings.xml><?xml version="1.0" encoding="utf-8"?>
<sst xmlns="http://schemas.openxmlformats.org/spreadsheetml/2006/main" count="58" uniqueCount="22">
  <si>
    <t>Option 1: Parralel beam</t>
  </si>
  <si>
    <t>lens_to_mesh (mm)</t>
  </si>
  <si>
    <t>mesh_to_detector (mm)</t>
  </si>
  <si>
    <t>detector_pixelsize (mm)</t>
  </si>
  <si>
    <t>distance_to_focalplane (mm)</t>
  </si>
  <si>
    <t>focal length(mm)</t>
  </si>
  <si>
    <t>mesh_line_thickness (mm)</t>
  </si>
  <si>
    <t>measured_gap_distance (pixels)</t>
  </si>
  <si>
    <t>measured_gap_distance (mm)</t>
  </si>
  <si>
    <t>EXAMPLES WITH SIMULATED DATA</t>
  </si>
  <si>
    <t>400 mesh</t>
  </si>
  <si>
    <t>500 mesh</t>
  </si>
  <si>
    <t>Option 2: Point source</t>
  </si>
  <si>
    <t>distance_to_imageplane (mm)</t>
  </si>
  <si>
    <t>focal length (mm)</t>
  </si>
  <si>
    <t>200 mesh</t>
  </si>
  <si>
    <t>300 mesh</t>
  </si>
  <si>
    <t>Magnification</t>
  </si>
  <si>
    <t>mesh_pitch_size (mm)</t>
  </si>
  <si>
    <t>mesh_gap_distance (mm)</t>
  </si>
  <si>
    <t>pointsource_to_lens (mm)</t>
  </si>
  <si>
    <t>lens_to_imageplane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</si>
</sst>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997F1-A6F2-4FC0-8773-DC0DE9C8F7BD}">
  <dimension ref="A1:D68"/>
  <sheetViews>
    <sheetView tabSelected="1" zoomScale="55" zoomScaleNormal="55" workbookViewId="0">
      <selection activeCell="F28" sqref="F28"/>
    </sheetView>
  </sheetViews>
  <sheetFormatPr defaultRowHeight="15" x14ac:dyDescent="0.25"/>
  <cols>
    <col min="1" max="1" width="27.7109375" customWidth="1"/>
  </cols>
  <sheetData>
    <row r="1" spans="1:2" x14ac:dyDescent="0.25">
      <c r="A1" t="s">
        <v>0</v>
      </c>
    </row>
    <row r="3" spans="1:2" x14ac:dyDescent="0.25">
      <c r="A3" t="s">
        <v>1</v>
      </c>
      <c r="B3">
        <v>15</v>
      </c>
    </row>
    <row r="4" spans="1:2" x14ac:dyDescent="0.25">
      <c r="A4" t="s">
        <v>2</v>
      </c>
      <c r="B4">
        <v>115</v>
      </c>
    </row>
    <row r="5" spans="1:2" x14ac:dyDescent="0.25">
      <c r="A5" t="s">
        <v>18</v>
      </c>
      <c r="B5">
        <v>0.127</v>
      </c>
    </row>
    <row r="6" spans="1:2" x14ac:dyDescent="0.25">
      <c r="A6" t="s">
        <v>6</v>
      </c>
      <c r="B6">
        <v>2.5999999999999999E-2</v>
      </c>
    </row>
    <row r="7" spans="1:2" x14ac:dyDescent="0.25">
      <c r="A7" t="s">
        <v>19</v>
      </c>
      <c r="B7">
        <f>B5-B6</f>
        <v>0.10100000000000001</v>
      </c>
    </row>
    <row r="8" spans="1:2" x14ac:dyDescent="0.25">
      <c r="A8" t="s">
        <v>3</v>
      </c>
      <c r="B8">
        <v>5.5E-2</v>
      </c>
    </row>
    <row r="9" spans="1:2" ht="15.75" thickBot="1" x14ac:dyDescent="0.3"/>
    <row r="10" spans="1:2" ht="15.75" thickBot="1" x14ac:dyDescent="0.3">
      <c r="A10" t="s">
        <v>7</v>
      </c>
      <c r="B10" s="1">
        <v>35</v>
      </c>
    </row>
    <row r="11" spans="1:2" x14ac:dyDescent="0.25">
      <c r="A11" t="s">
        <v>8</v>
      </c>
      <c r="B11">
        <f>B10*B8</f>
        <v>1.925</v>
      </c>
    </row>
    <row r="13" spans="1:2" x14ac:dyDescent="0.25">
      <c r="A13" t="s">
        <v>17</v>
      </c>
      <c r="B13">
        <f>B11/B7</f>
        <v>19.059405940594058</v>
      </c>
    </row>
    <row r="14" spans="1:2" x14ac:dyDescent="0.25">
      <c r="A14" t="s">
        <v>4</v>
      </c>
      <c r="B14">
        <f>B4/(B13-1)</f>
        <v>6.3678728070175445</v>
      </c>
    </row>
    <row r="15" spans="1:2" x14ac:dyDescent="0.25">
      <c r="A15" t="s">
        <v>5</v>
      </c>
      <c r="B15">
        <f>B3-B14</f>
        <v>8.6321271929824555</v>
      </c>
    </row>
    <row r="18" spans="1:4" x14ac:dyDescent="0.25">
      <c r="A18" t="s">
        <v>9</v>
      </c>
    </row>
    <row r="19" spans="1:4" x14ac:dyDescent="0.25">
      <c r="B19" t="s">
        <v>10</v>
      </c>
      <c r="C19" t="s">
        <v>11</v>
      </c>
      <c r="D19" t="s">
        <v>15</v>
      </c>
    </row>
    <row r="20" spans="1:4" x14ac:dyDescent="0.25">
      <c r="A20" t="s">
        <v>1</v>
      </c>
      <c r="B20">
        <v>10</v>
      </c>
      <c r="C20">
        <v>10</v>
      </c>
      <c r="D20">
        <v>15</v>
      </c>
    </row>
    <row r="21" spans="1:4" x14ac:dyDescent="0.25">
      <c r="A21" t="s">
        <v>2</v>
      </c>
      <c r="B21">
        <v>110</v>
      </c>
      <c r="C21">
        <v>110</v>
      </c>
      <c r="D21">
        <v>115</v>
      </c>
    </row>
    <row r="22" spans="1:4" x14ac:dyDescent="0.25">
      <c r="A22" t="s">
        <v>18</v>
      </c>
      <c r="B22">
        <v>6.4000000000000001E-2</v>
      </c>
      <c r="C22">
        <v>5.0999999999999997E-2</v>
      </c>
      <c r="D22">
        <v>0.127</v>
      </c>
    </row>
    <row r="23" spans="1:4" x14ac:dyDescent="0.25">
      <c r="A23" t="s">
        <v>6</v>
      </c>
      <c r="B23">
        <v>2.3E-2</v>
      </c>
      <c r="C23">
        <v>2.3E-2</v>
      </c>
      <c r="D23">
        <v>2.5999999999999999E-2</v>
      </c>
    </row>
    <row r="24" spans="1:4" x14ac:dyDescent="0.25">
      <c r="A24" t="s">
        <v>19</v>
      </c>
      <c r="B24">
        <f>B22-B23</f>
        <v>4.1000000000000002E-2</v>
      </c>
      <c r="C24">
        <f>C22-C23</f>
        <v>2.7999999999999997E-2</v>
      </c>
      <c r="D24">
        <f>D22-D23</f>
        <v>0.10100000000000001</v>
      </c>
    </row>
    <row r="25" spans="1:4" x14ac:dyDescent="0.25">
      <c r="A25" t="s">
        <v>3</v>
      </c>
      <c r="B25">
        <v>5.5E-2</v>
      </c>
      <c r="C25">
        <v>5.5E-2</v>
      </c>
      <c r="D25">
        <v>5.5E-2</v>
      </c>
    </row>
    <row r="26" spans="1:4" ht="15.75" thickBot="1" x14ac:dyDescent="0.3"/>
    <row r="27" spans="1:4" ht="15.75" thickBot="1" x14ac:dyDescent="0.3">
      <c r="A27" t="s">
        <v>7</v>
      </c>
      <c r="B27" s="1">
        <v>56</v>
      </c>
      <c r="C27" s="1">
        <v>38</v>
      </c>
      <c r="D27" s="1">
        <v>35</v>
      </c>
    </row>
    <row r="28" spans="1:4" x14ac:dyDescent="0.25">
      <c r="A28" t="s">
        <v>8</v>
      </c>
      <c r="B28">
        <f>B27*B25</f>
        <v>3.08</v>
      </c>
      <c r="C28">
        <f>C27*C25</f>
        <v>2.09</v>
      </c>
      <c r="D28">
        <f>D27*D25</f>
        <v>1.925</v>
      </c>
    </row>
    <row r="30" spans="1:4" x14ac:dyDescent="0.25">
      <c r="A30" t="s">
        <v>17</v>
      </c>
      <c r="B30">
        <f>B28/B24</f>
        <v>75.121951219512198</v>
      </c>
      <c r="C30">
        <f>C28/C24</f>
        <v>74.642857142857139</v>
      </c>
      <c r="D30">
        <f>D28/D24</f>
        <v>19.059405940594058</v>
      </c>
    </row>
    <row r="31" spans="1:4" x14ac:dyDescent="0.25">
      <c r="A31" t="s">
        <v>4</v>
      </c>
      <c r="B31">
        <f>B21/(B30-1)</f>
        <v>1.4840408028956893</v>
      </c>
      <c r="C31">
        <f>C21/(C30-1)</f>
        <v>1.4936954413191077</v>
      </c>
      <c r="D31">
        <f>D21/(D30-1)</f>
        <v>6.3678728070175445</v>
      </c>
    </row>
    <row r="32" spans="1:4" x14ac:dyDescent="0.25">
      <c r="A32" t="s">
        <v>5</v>
      </c>
      <c r="B32">
        <f>B20-B31</f>
        <v>8.5159591971043103</v>
      </c>
      <c r="C32">
        <f>C20-C31</f>
        <v>8.5063045586808919</v>
      </c>
      <c r="D32">
        <f>D20-D31</f>
        <v>8.6321271929824555</v>
      </c>
    </row>
    <row r="34" spans="1:2" x14ac:dyDescent="0.25">
      <c r="A34" t="s">
        <v>12</v>
      </c>
    </row>
    <row r="36" spans="1:2" x14ac:dyDescent="0.25">
      <c r="A36" t="s">
        <v>20</v>
      </c>
      <c r="B36">
        <v>15</v>
      </c>
    </row>
    <row r="37" spans="1:2" x14ac:dyDescent="0.25">
      <c r="A37" t="s">
        <v>1</v>
      </c>
      <c r="B37">
        <v>20</v>
      </c>
    </row>
    <row r="38" spans="1:2" x14ac:dyDescent="0.25">
      <c r="A38" t="s">
        <v>2</v>
      </c>
      <c r="B38">
        <v>145</v>
      </c>
    </row>
    <row r="39" spans="1:2" x14ac:dyDescent="0.25">
      <c r="A39" t="s">
        <v>18</v>
      </c>
      <c r="B39">
        <v>5.0999999999999997E-2</v>
      </c>
    </row>
    <row r="40" spans="1:2" x14ac:dyDescent="0.25">
      <c r="A40" t="s">
        <v>6</v>
      </c>
      <c r="B40">
        <v>2.3E-2</v>
      </c>
    </row>
    <row r="41" spans="1:2" x14ac:dyDescent="0.25">
      <c r="A41" t="s">
        <v>19</v>
      </c>
      <c r="B41">
        <f>B39-B40</f>
        <v>2.7999999999999997E-2</v>
      </c>
    </row>
    <row r="42" spans="1:2" x14ac:dyDescent="0.25">
      <c r="A42" t="s">
        <v>3</v>
      </c>
      <c r="B42">
        <v>5.5E-2</v>
      </c>
    </row>
    <row r="43" spans="1:2" ht="15.75" thickBot="1" x14ac:dyDescent="0.3"/>
    <row r="44" spans="1:2" ht="15.75" thickBot="1" x14ac:dyDescent="0.3">
      <c r="A44" t="s">
        <v>7</v>
      </c>
      <c r="B44" s="1">
        <v>100</v>
      </c>
    </row>
    <row r="45" spans="1:2" x14ac:dyDescent="0.25">
      <c r="A45" t="s">
        <v>8</v>
      </c>
      <c r="B45">
        <f>B44*B42</f>
        <v>5.5</v>
      </c>
    </row>
    <row r="47" spans="1:2" x14ac:dyDescent="0.25">
      <c r="A47" t="s">
        <v>17</v>
      </c>
      <c r="B47">
        <f>B45/B41</f>
        <v>196.42857142857144</v>
      </c>
    </row>
    <row r="48" spans="1:2" x14ac:dyDescent="0.25">
      <c r="A48" t="s">
        <v>13</v>
      </c>
      <c r="B48">
        <f>B38/(B47-1)</f>
        <v>0.74195906432748537</v>
      </c>
    </row>
    <row r="49" spans="1:4" x14ac:dyDescent="0.25">
      <c r="A49" t="s">
        <v>21</v>
      </c>
      <c r="B49">
        <f>B37-B48</f>
        <v>19.258040935672515</v>
      </c>
    </row>
    <row r="50" spans="1:4" x14ac:dyDescent="0.25">
      <c r="A50" t="s">
        <v>14</v>
      </c>
      <c r="B50">
        <f>B49*B36/(B49+B36)</f>
        <v>8.4321988690920744</v>
      </c>
    </row>
    <row r="52" spans="1:4" x14ac:dyDescent="0.25">
      <c r="A52" t="s">
        <v>9</v>
      </c>
    </row>
    <row r="53" spans="1:4" x14ac:dyDescent="0.25">
      <c r="B53" t="s">
        <v>15</v>
      </c>
      <c r="C53" t="s">
        <v>16</v>
      </c>
      <c r="D53" t="s">
        <v>11</v>
      </c>
    </row>
    <row r="54" spans="1:4" x14ac:dyDescent="0.25">
      <c r="A54" t="s">
        <v>20</v>
      </c>
      <c r="B54">
        <v>20</v>
      </c>
      <c r="C54">
        <v>20</v>
      </c>
      <c r="D54">
        <v>15</v>
      </c>
    </row>
    <row r="55" spans="1:4" x14ac:dyDescent="0.25">
      <c r="A55" t="s">
        <v>1</v>
      </c>
      <c r="B55">
        <v>20</v>
      </c>
      <c r="C55">
        <v>20</v>
      </c>
      <c r="D55">
        <v>20</v>
      </c>
    </row>
    <row r="56" spans="1:4" x14ac:dyDescent="0.25">
      <c r="A56" t="s">
        <v>2</v>
      </c>
      <c r="B56">
        <v>90</v>
      </c>
      <c r="C56">
        <v>140</v>
      </c>
      <c r="D56">
        <v>145</v>
      </c>
    </row>
    <row r="57" spans="1:4" x14ac:dyDescent="0.25">
      <c r="A57" t="s">
        <v>18</v>
      </c>
      <c r="B57">
        <v>0.127</v>
      </c>
      <c r="C57">
        <v>8.5000000000000006E-2</v>
      </c>
      <c r="D57">
        <v>5.0999999999999997E-2</v>
      </c>
    </row>
    <row r="58" spans="1:4" x14ac:dyDescent="0.25">
      <c r="A58" t="s">
        <v>6</v>
      </c>
      <c r="B58">
        <v>2.5999999999999999E-2</v>
      </c>
      <c r="C58">
        <v>2.5000000000000001E-2</v>
      </c>
      <c r="D58">
        <v>2.3E-2</v>
      </c>
    </row>
    <row r="59" spans="1:4" x14ac:dyDescent="0.25">
      <c r="A59" t="s">
        <v>19</v>
      </c>
      <c r="B59">
        <f>B57-B58</f>
        <v>0.10100000000000001</v>
      </c>
      <c r="C59">
        <f>C57-C58</f>
        <v>6.0000000000000005E-2</v>
      </c>
      <c r="D59">
        <f>D57-D58</f>
        <v>2.7999999999999997E-2</v>
      </c>
    </row>
    <row r="60" spans="1:4" x14ac:dyDescent="0.25">
      <c r="A60" t="s">
        <v>3</v>
      </c>
      <c r="B60">
        <v>5.5E-2</v>
      </c>
      <c r="C60">
        <v>5.5E-2</v>
      </c>
      <c r="D60">
        <v>5.5E-2</v>
      </c>
    </row>
    <row r="61" spans="1:4" ht="15.75" thickBot="1" x14ac:dyDescent="0.3"/>
    <row r="62" spans="1:4" ht="15.75" thickBot="1" x14ac:dyDescent="0.3">
      <c r="A62" t="s">
        <v>7</v>
      </c>
      <c r="B62" s="1">
        <v>34</v>
      </c>
      <c r="C62" s="1">
        <v>31</v>
      </c>
      <c r="D62" s="1">
        <v>100</v>
      </c>
    </row>
    <row r="63" spans="1:4" x14ac:dyDescent="0.25">
      <c r="A63" t="s">
        <v>8</v>
      </c>
      <c r="B63">
        <f>B62*B60</f>
        <v>1.87</v>
      </c>
      <c r="C63">
        <f>C62*C60</f>
        <v>1.7050000000000001</v>
      </c>
      <c r="D63">
        <f>D62*D60</f>
        <v>5.5</v>
      </c>
    </row>
    <row r="65" spans="1:4" x14ac:dyDescent="0.25">
      <c r="A65" t="s">
        <v>17</v>
      </c>
      <c r="B65">
        <f>B63/B59</f>
        <v>18.514851485148515</v>
      </c>
      <c r="C65">
        <f>C63/C59</f>
        <v>28.416666666666664</v>
      </c>
      <c r="D65">
        <f>D63/D59</f>
        <v>196.42857142857144</v>
      </c>
    </row>
    <row r="66" spans="1:4" x14ac:dyDescent="0.25">
      <c r="A66" t="s">
        <v>13</v>
      </c>
      <c r="B66">
        <f>B56/(B65-1)</f>
        <v>5.1384963256076874</v>
      </c>
      <c r="C66">
        <f>C56/(C65-1)</f>
        <v>5.1063829787234045</v>
      </c>
      <c r="D66">
        <f>D56/(D65-1)</f>
        <v>0.74195906432748537</v>
      </c>
    </row>
    <row r="67" spans="1:4" x14ac:dyDescent="0.25">
      <c r="A67" t="s">
        <v>21</v>
      </c>
      <c r="B67">
        <f>B55-B66</f>
        <v>14.861503674392313</v>
      </c>
      <c r="C67">
        <f>C55-C66</f>
        <v>14.893617021276595</v>
      </c>
      <c r="D67">
        <f>D55-D66</f>
        <v>19.258040935672515</v>
      </c>
    </row>
    <row r="68" spans="1:4" x14ac:dyDescent="0.25">
      <c r="A68" t="s">
        <v>14</v>
      </c>
      <c r="B68">
        <f>B67*B54/(B67+B54)</f>
        <v>8.5260256202367444</v>
      </c>
      <c r="C68">
        <f>C67*C54/(C67+C54)</f>
        <v>8.5365853658536572</v>
      </c>
      <c r="D68">
        <f>D67*D54/(D67+D54)</f>
        <v>8.4321988690920744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 De Borger</dc:creator>
  <cp:lastModifiedBy>Des De Borger</cp:lastModifiedBy>
  <dcterms:created xsi:type="dcterms:W3CDTF">2026-03-31T08:36:37Z</dcterms:created>
  <dcterms:modified xsi:type="dcterms:W3CDTF">2026-03-31T20:20:45Z</dcterms:modified>
</cp:coreProperties>
</file>